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eleno\projects\one_shape_bo\outputs\Tests\"/>
    </mc:Choice>
  </mc:AlternateContent>
  <xr:revisionPtr revIDLastSave="0" documentId="8_{7EA2803D-640D-4C8D-A330-84365404F1C2}" xr6:coauthVersionLast="47" xr6:coauthVersionMax="47" xr10:uidLastSave="{00000000-0000-0000-0000-000000000000}"/>
  <bookViews>
    <workbookView xWindow="768" yWindow="768" windowWidth="13632" windowHeight="9960" activeTab="1" xr2:uid="{00000000-000D-0000-FFFF-FFFF00000000}"/>
  </bookViews>
  <sheets>
    <sheet name="Laptop" sheetId="1" r:id="rId1"/>
    <sheet name="Deskt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C28" i="2"/>
</calcChain>
</file>

<file path=xl/sharedStrings.xml><?xml version="1.0" encoding="utf-8"?>
<sst xmlns="http://schemas.openxmlformats.org/spreadsheetml/2006/main" count="186" uniqueCount="68">
  <si>
    <t>Folder Name</t>
  </si>
  <si>
    <t>260928_Implemented_Corrections</t>
  </si>
  <si>
    <t>260929_104907_Triangle</t>
  </si>
  <si>
    <t>261008_085508_Triangle</t>
  </si>
  <si>
    <t>261008_172944_Triangle</t>
  </si>
  <si>
    <t>261008_173626_Ellipse</t>
  </si>
  <si>
    <t>htype</t>
  </si>
  <si>
    <t>xsize</t>
  </si>
  <si>
    <t>ysize</t>
  </si>
  <si>
    <t>bx</t>
  </si>
  <si>
    <t>by</t>
  </si>
  <si>
    <t>amin</t>
  </si>
  <si>
    <t>smin</t>
  </si>
  <si>
    <t>solid_max</t>
  </si>
  <si>
    <t>nholes</t>
  </si>
  <si>
    <t>tri_q_min</t>
  </si>
  <si>
    <t>raw_pool_multiplier</t>
  </si>
  <si>
    <t>ng_rst</t>
  </si>
  <si>
    <t>nl_rst</t>
  </si>
  <si>
    <t>max_restart_batches</t>
  </si>
  <si>
    <t>local_radius</t>
  </si>
  <si>
    <t>local_start_strategy</t>
  </si>
  <si>
    <t>raster_tolerance</t>
  </si>
  <si>
    <t>emin</t>
  </si>
  <si>
    <t>e0</t>
  </si>
  <si>
    <t>penal</t>
  </si>
  <si>
    <t>burn_in</t>
  </si>
  <si>
    <t>iterations</t>
  </si>
  <si>
    <t>stagnation_patience</t>
  </si>
  <si>
    <t>exploration_fraction</t>
  </si>
  <si>
    <t>seed</t>
  </si>
  <si>
    <t>minimum_restart_distance</t>
  </si>
  <si>
    <t>archive</t>
  </si>
  <si>
    <t>radius</t>
  </si>
  <si>
    <r>
      <t xml:space="preserve">This is the a comparison of the most important results in outputs, after commit 31a624a.
Expect a design similar to the warren truss, know that when this is found across multiple seeds, triangles is setup correctly, and thus can run ellipses confidently.
</t>
    </r>
    <r>
      <rPr>
        <i/>
        <sz val="11"/>
        <color theme="1"/>
        <rFont val="Calibri"/>
        <family val="2"/>
        <scheme val="minor"/>
      </rPr>
      <t xml:space="preserve">Note that will have to change the geometry, loading etc to satisfy actual constrains/conditions. Note that may also impose a smaller minimum spacing or a greater bx/by eventually.
</t>
    </r>
    <r>
      <rPr>
        <sz val="11"/>
        <color theme="1"/>
        <rFont val="Calibri"/>
        <family val="2"/>
        <scheme val="minor"/>
      </rPr>
      <t xml:space="preserve">- 260928_Implemented_Corrections used a fixed-radius sampling, but usually generated no local raw pool: median 0. It had 102 local winners and finished at a compliance of 83.6612.
- 260929_10407_Triangle contracted the radius until the local pool was filled: median 15. Local winners increased to 353/525, prolonged stagnation occured, and final compliance worsened to 93.1552, despite the same seed.
The later modification adds the 'archive'. This is a better way of searching for local restarts (see 261007_Additional_Notes.pdf - or appropriately named (similar date) in the Bayesian_Optimisation_Part3 folder). This is used by the final three outputs, which also use the same seed of 967. The differences are:
- 261008_085508_Triangle used 5 local and 10 global restarts (htype = 0, triangle) -&gt; Reached smallest compliance yet of 79.982. It remained local-heavy, with 332 winners being local. It still experienced substantial stagnation (perhaps overcome with diversity enabled/disabled later on in iteration? Or perhaps this won't work when the same shape?)
- 261008_172944_Triangle used 8 local and 8 global restarts (htype = 0, triangle) -&gt; Depite everything else the same as the above, compliance of only 96.4448, worse than even 260929_10407_Triangle
- 261008_173626_Ellipse used 5 local and 10 global restarts (htype = 1, ellipse)
Why, is 261008_085508_Triangle superior to 61008_172944_Triangle, when it uses fewer restarts.
Well, because it wasn't properly controlled! It used the wrong starting seed, which had a worst burn-in pipulation.
Further, global restarts decreased from 10 to 8, the increase was entirely local/archive restarts. More acquisition restarts improve the chance of maximising the model's acquisition function, not necessarily the true compliance objective. A GP trained on weaker data can confidently select less useful designs.
So, cannot make conclusion yet on the way to balance the global and local restarts. Next steps:
- A run with the correct starting seed, and with a different local/global restarts
- Look into the maths behind the local/global restarts and relate it to the way the code is written. Check in the context to see conclusions on what values they should hold.
- Run further tests for triangle (once satisfied with the local/global restarts) at different seeds. Want to see little deviation in the result.
</t>
    </r>
    <r>
      <rPr>
        <b/>
        <sz val="11"/>
        <color theme="1"/>
        <rFont val="Calibri"/>
        <family val="2"/>
        <scheme val="minor"/>
      </rPr>
      <t>Remember, perfection is the enemy to progress!</t>
    </r>
  </si>
  <si>
    <t>Location</t>
  </si>
  <si>
    <t>Laptop (control/comparison)</t>
  </si>
  <si>
    <t>Compliance</t>
  </si>
  <si>
    <t>Config</t>
  </si>
  <si>
    <t>Default, as above</t>
  </si>
  <si>
    <t>novelty weight</t>
  </si>
  <si>
    <t>Explanation: Compare to the best- performing laptop result (261008_085508_Triangle) - baseline: 55% acquisition weight, 45% novelty weight</t>
  </si>
  <si>
    <t>Desktop</t>
  </si>
  <si>
    <t>Category: Number of local vs global restarts</t>
  </si>
  <si>
    <t>acquisition weight</t>
  </si>
  <si>
    <t># local</t>
  </si>
  <si>
    <t># global</t>
  </si>
  <si>
    <t>Explanation: Compare to the best- performing laptop result (261008_085508_Triangle) - baseline: 5 local, 10 global</t>
  </si>
  <si>
    <t>Category: Heuristic weight in rank_initial_condition_pool</t>
  </si>
  <si>
    <t>261012_171048_Triangle</t>
  </si>
  <si>
    <t>261012_171527_Triangle</t>
  </si>
  <si>
    <t>261012_172124_Triangle</t>
  </si>
  <si>
    <t>Seed</t>
  </si>
  <si>
    <t>261013_132546_Triangle</t>
  </si>
  <si>
    <t>261013_154627_Triangle</t>
  </si>
  <si>
    <t>261013_160158_Triangle</t>
  </si>
  <si>
    <t>261013_160904_Triangle</t>
  </si>
  <si>
    <t>261013_161341_Triangle</t>
  </si>
  <si>
    <t>261013_161749_Triangle</t>
  </si>
  <si>
    <t>Category: Ellipse runs with different seeds</t>
  </si>
  <si>
    <t>default</t>
  </si>
  <si>
    <t>261013_162444_Ellipse</t>
  </si>
  <si>
    <t>261013_162908_Ellipse</t>
  </si>
  <si>
    <t>(Not yet submitted)</t>
  </si>
  <si>
    <t>Notes</t>
  </si>
  <si>
    <t>Never increases beyond 106.433, an improvement made in iteration #6. Only 2% since the initial best.</t>
  </si>
  <si>
    <t>Never increases beyond 106.433, an improvement made in iteration #6. Only 2% since the initial best. Barely any difference to the above log.</t>
  </si>
  <si>
    <t>Ditto!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</si>
</sst>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6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3" fillId="3" borderId="4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1" fillId="2" borderId="1" xfId="1" applyAlignment="1">
      <alignment horizontal="center"/>
    </xf>
    <xf numFmtId="0" fontId="2" fillId="2" borderId="1" xfId="1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3" fillId="3" borderId="8" xfId="0" applyFont="1" applyFill="1" applyBorder="1"/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2" borderId="23" xfId="1" applyBorder="1" applyAlignment="1">
      <alignment horizontal="center"/>
    </xf>
    <xf numFmtId="0" fontId="1" fillId="2" borderId="24" xfId="1" applyBorder="1" applyAlignment="1">
      <alignment horizontal="center"/>
    </xf>
    <xf numFmtId="0" fontId="1" fillId="2" borderId="25" xfId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6" fillId="6" borderId="9" xfId="2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1" applyFont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3">
    <cellStyle name="Good" xfId="2" builtinId="2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workbookViewId="0">
      <selection activeCell="A7" sqref="A7:I31"/>
    </sheetView>
  </sheetViews>
  <sheetFormatPr defaultRowHeight="14.4" x14ac:dyDescent="0.3"/>
  <cols>
    <col min="1" max="1" width="29.6640625" bestFit="1" customWidth="1"/>
    <col min="2" max="27" width="20.6640625" style="1" customWidth="1"/>
  </cols>
  <sheetData>
    <row r="1" spans="1:27" ht="15" thickBot="1" x14ac:dyDescent="0.35">
      <c r="A1" s="4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31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6" t="s">
        <v>30</v>
      </c>
    </row>
    <row r="2" spans="1:27" x14ac:dyDescent="0.3">
      <c r="A2" s="7" t="s">
        <v>1</v>
      </c>
      <c r="B2" s="2">
        <v>0</v>
      </c>
      <c r="C2" s="2">
        <v>100</v>
      </c>
      <c r="D2" s="2">
        <v>50</v>
      </c>
      <c r="E2" s="2">
        <v>1</v>
      </c>
      <c r="F2" s="2">
        <v>1</v>
      </c>
      <c r="G2" s="2">
        <v>50</v>
      </c>
      <c r="H2" s="2">
        <v>1</v>
      </c>
      <c r="I2" s="2">
        <v>0.5</v>
      </c>
      <c r="J2" s="2">
        <v>3</v>
      </c>
      <c r="K2" s="2">
        <v>0.1</v>
      </c>
      <c r="L2" s="2">
        <v>3</v>
      </c>
      <c r="M2" s="9">
        <v>10</v>
      </c>
      <c r="N2" s="9">
        <v>5</v>
      </c>
      <c r="O2" s="2">
        <v>6</v>
      </c>
      <c r="P2" s="2">
        <v>0.02</v>
      </c>
      <c r="Q2" s="2">
        <v>0.05</v>
      </c>
      <c r="R2" s="9" t="s">
        <v>33</v>
      </c>
      <c r="S2" s="2">
        <v>5.0000000000000001E-3</v>
      </c>
      <c r="T2" s="3">
        <v>1.0000000000000001E-9</v>
      </c>
      <c r="U2" s="2">
        <v>1</v>
      </c>
      <c r="V2" s="2">
        <v>3</v>
      </c>
      <c r="W2" s="2">
        <v>105</v>
      </c>
      <c r="X2" s="2">
        <v>525</v>
      </c>
      <c r="Y2" s="2">
        <v>105</v>
      </c>
      <c r="Z2" s="2">
        <v>0.75</v>
      </c>
      <c r="AA2" s="9">
        <v>0</v>
      </c>
    </row>
    <row r="3" spans="1:27" x14ac:dyDescent="0.3">
      <c r="A3" s="8" t="s">
        <v>2</v>
      </c>
      <c r="B3" s="2">
        <v>0</v>
      </c>
      <c r="C3" s="2">
        <v>100</v>
      </c>
      <c r="D3" s="2">
        <v>50</v>
      </c>
      <c r="E3" s="2">
        <v>1</v>
      </c>
      <c r="F3" s="2">
        <v>1</v>
      </c>
      <c r="G3" s="2">
        <v>50</v>
      </c>
      <c r="H3" s="2">
        <v>1</v>
      </c>
      <c r="I3" s="2">
        <v>0.5</v>
      </c>
      <c r="J3" s="2">
        <v>3</v>
      </c>
      <c r="K3" s="2">
        <v>0.1</v>
      </c>
      <c r="L3" s="2">
        <v>3</v>
      </c>
      <c r="M3" s="9">
        <v>10</v>
      </c>
      <c r="N3" s="9">
        <v>5</v>
      </c>
      <c r="O3" s="2">
        <v>6</v>
      </c>
      <c r="P3" s="2">
        <v>0.02</v>
      </c>
      <c r="Q3" s="2">
        <v>0.05</v>
      </c>
      <c r="R3" s="9" t="s">
        <v>33</v>
      </c>
      <c r="S3" s="2">
        <v>5.0000000000000001E-3</v>
      </c>
      <c r="T3" s="3">
        <v>1.0000000000000001E-9</v>
      </c>
      <c r="U3" s="2">
        <v>1</v>
      </c>
      <c r="V3" s="2">
        <v>3</v>
      </c>
      <c r="W3" s="2">
        <v>105</v>
      </c>
      <c r="X3" s="2">
        <v>525</v>
      </c>
      <c r="Y3" s="2">
        <v>105</v>
      </c>
      <c r="Z3" s="2">
        <v>0.75</v>
      </c>
      <c r="AA3" s="9">
        <v>0</v>
      </c>
    </row>
    <row r="4" spans="1:27" x14ac:dyDescent="0.3">
      <c r="A4" s="8" t="s">
        <v>3</v>
      </c>
      <c r="B4" s="2">
        <v>0</v>
      </c>
      <c r="C4" s="2">
        <v>100</v>
      </c>
      <c r="D4" s="2">
        <v>50</v>
      </c>
      <c r="E4" s="2">
        <v>1</v>
      </c>
      <c r="F4" s="2">
        <v>1</v>
      </c>
      <c r="G4" s="2">
        <v>50</v>
      </c>
      <c r="H4" s="2">
        <v>1</v>
      </c>
      <c r="I4" s="2">
        <v>0.5</v>
      </c>
      <c r="J4" s="2">
        <v>3</v>
      </c>
      <c r="K4" s="2">
        <v>0.1</v>
      </c>
      <c r="L4" s="2">
        <v>3</v>
      </c>
      <c r="M4" s="9">
        <v>10</v>
      </c>
      <c r="N4" s="9">
        <v>5</v>
      </c>
      <c r="O4" s="2">
        <v>6</v>
      </c>
      <c r="P4" s="2">
        <v>0.02</v>
      </c>
      <c r="Q4" s="2">
        <v>0.05</v>
      </c>
      <c r="R4" s="9" t="s">
        <v>32</v>
      </c>
      <c r="S4" s="2">
        <v>5.0000000000000001E-3</v>
      </c>
      <c r="T4" s="3">
        <v>1.0000000000000001E-9</v>
      </c>
      <c r="U4" s="2">
        <v>1</v>
      </c>
      <c r="V4" s="2">
        <v>3</v>
      </c>
      <c r="W4" s="2">
        <v>105</v>
      </c>
      <c r="X4" s="2">
        <v>525</v>
      </c>
      <c r="Y4" s="2">
        <v>105</v>
      </c>
      <c r="Z4" s="2">
        <v>0.75</v>
      </c>
      <c r="AA4" s="9">
        <v>967</v>
      </c>
    </row>
    <row r="5" spans="1:27" x14ac:dyDescent="0.3">
      <c r="A5" s="8" t="s">
        <v>4</v>
      </c>
      <c r="B5" s="2">
        <v>0</v>
      </c>
      <c r="C5" s="2">
        <v>100</v>
      </c>
      <c r="D5" s="2">
        <v>50</v>
      </c>
      <c r="E5" s="2">
        <v>1</v>
      </c>
      <c r="F5" s="2">
        <v>1</v>
      </c>
      <c r="G5" s="2">
        <v>50</v>
      </c>
      <c r="H5" s="2">
        <v>1</v>
      </c>
      <c r="I5" s="2">
        <v>0.5</v>
      </c>
      <c r="J5" s="2">
        <v>3</v>
      </c>
      <c r="K5" s="2">
        <v>0.1</v>
      </c>
      <c r="L5" s="2">
        <v>3</v>
      </c>
      <c r="M5" s="9">
        <v>8</v>
      </c>
      <c r="N5" s="9">
        <v>8</v>
      </c>
      <c r="O5" s="2">
        <v>6</v>
      </c>
      <c r="P5" s="2">
        <v>0.02</v>
      </c>
      <c r="Q5" s="2">
        <v>0.05</v>
      </c>
      <c r="R5" s="9" t="s">
        <v>32</v>
      </c>
      <c r="S5" s="2">
        <v>5.0000000000000001E-3</v>
      </c>
      <c r="T5" s="3">
        <v>1.0000000000000001E-9</v>
      </c>
      <c r="U5" s="2">
        <v>1</v>
      </c>
      <c r="V5" s="2">
        <v>3</v>
      </c>
      <c r="W5" s="2">
        <v>105</v>
      </c>
      <c r="X5" s="2">
        <v>525</v>
      </c>
      <c r="Y5" s="2">
        <v>105</v>
      </c>
      <c r="Z5" s="2">
        <v>0.75</v>
      </c>
      <c r="AA5" s="10">
        <v>976</v>
      </c>
    </row>
    <row r="6" spans="1:27" x14ac:dyDescent="0.3">
      <c r="A6" s="8" t="s">
        <v>5</v>
      </c>
      <c r="B6" s="2">
        <v>1</v>
      </c>
      <c r="C6" s="2">
        <v>100</v>
      </c>
      <c r="D6" s="2">
        <v>50</v>
      </c>
      <c r="E6" s="2">
        <v>1</v>
      </c>
      <c r="F6" s="2">
        <v>1</v>
      </c>
      <c r="G6" s="2">
        <v>50</v>
      </c>
      <c r="H6" s="2">
        <v>1</v>
      </c>
      <c r="I6" s="2">
        <v>0.5</v>
      </c>
      <c r="J6" s="2">
        <v>3</v>
      </c>
      <c r="K6" s="2">
        <v>0.1</v>
      </c>
      <c r="L6" s="2">
        <v>3</v>
      </c>
      <c r="M6" s="9">
        <v>10</v>
      </c>
      <c r="N6" s="9">
        <v>5</v>
      </c>
      <c r="O6" s="2">
        <v>6</v>
      </c>
      <c r="P6" s="2">
        <v>0.02</v>
      </c>
      <c r="Q6" s="2">
        <v>0.05</v>
      </c>
      <c r="R6" s="9" t="s">
        <v>32</v>
      </c>
      <c r="S6" s="2">
        <v>5.0000000000000001E-3</v>
      </c>
      <c r="T6" s="3">
        <v>1.0000000000000001E-9</v>
      </c>
      <c r="U6" s="2">
        <v>1</v>
      </c>
      <c r="V6" s="2">
        <v>3</v>
      </c>
      <c r="W6" s="2">
        <v>105</v>
      </c>
      <c r="X6" s="2">
        <v>525</v>
      </c>
      <c r="Y6" s="2">
        <v>105</v>
      </c>
      <c r="Z6" s="2">
        <v>0.75</v>
      </c>
      <c r="AA6" s="10">
        <v>976</v>
      </c>
    </row>
    <row r="7" spans="1:27" ht="14.4" customHeight="1" x14ac:dyDescent="0.3">
      <c r="A7" s="52" t="s">
        <v>34</v>
      </c>
      <c r="B7" s="52"/>
      <c r="C7" s="52"/>
      <c r="D7" s="52"/>
      <c r="E7" s="52"/>
      <c r="F7" s="52"/>
      <c r="G7" s="52"/>
      <c r="H7" s="52"/>
      <c r="I7" s="52"/>
    </row>
    <row r="8" spans="1:27" x14ac:dyDescent="0.3">
      <c r="A8" s="53"/>
      <c r="B8" s="53"/>
      <c r="C8" s="53"/>
      <c r="D8" s="53"/>
      <c r="E8" s="53"/>
      <c r="F8" s="53"/>
      <c r="G8" s="53"/>
      <c r="H8" s="53"/>
      <c r="I8" s="53"/>
    </row>
    <row r="9" spans="1:27" x14ac:dyDescent="0.3">
      <c r="A9" s="53"/>
      <c r="B9" s="53"/>
      <c r="C9" s="53"/>
      <c r="D9" s="53"/>
      <c r="E9" s="53"/>
      <c r="F9" s="53"/>
      <c r="G9" s="53"/>
      <c r="H9" s="53"/>
      <c r="I9" s="53"/>
    </row>
    <row r="10" spans="1:27" x14ac:dyDescent="0.3">
      <c r="A10" s="53"/>
      <c r="B10" s="53"/>
      <c r="C10" s="53"/>
      <c r="D10" s="53"/>
      <c r="E10" s="53"/>
      <c r="F10" s="53"/>
      <c r="G10" s="53"/>
      <c r="H10" s="53"/>
      <c r="I10" s="53"/>
    </row>
    <row r="11" spans="1:27" x14ac:dyDescent="0.3">
      <c r="A11" s="53"/>
      <c r="B11" s="53"/>
      <c r="C11" s="53"/>
      <c r="D11" s="53"/>
      <c r="E11" s="53"/>
      <c r="F11" s="53"/>
      <c r="G11" s="53"/>
      <c r="H11" s="53"/>
      <c r="I11" s="53"/>
    </row>
    <row r="12" spans="1:27" x14ac:dyDescent="0.3">
      <c r="A12" s="53"/>
      <c r="B12" s="53"/>
      <c r="C12" s="53"/>
      <c r="D12" s="53"/>
      <c r="E12" s="53"/>
      <c r="F12" s="53"/>
      <c r="G12" s="53"/>
      <c r="H12" s="53"/>
      <c r="I12" s="53"/>
    </row>
    <row r="13" spans="1:27" x14ac:dyDescent="0.3">
      <c r="A13" s="53"/>
      <c r="B13" s="53"/>
      <c r="C13" s="53"/>
      <c r="D13" s="53"/>
      <c r="E13" s="53"/>
      <c r="F13" s="53"/>
      <c r="G13" s="53"/>
      <c r="H13" s="53"/>
      <c r="I13" s="53"/>
    </row>
    <row r="14" spans="1:27" x14ac:dyDescent="0.3">
      <c r="A14" s="53"/>
      <c r="B14" s="53"/>
      <c r="C14" s="53"/>
      <c r="D14" s="53"/>
      <c r="E14" s="53"/>
      <c r="F14" s="53"/>
      <c r="G14" s="53"/>
      <c r="H14" s="53"/>
      <c r="I14" s="53"/>
    </row>
    <row r="15" spans="1:27" x14ac:dyDescent="0.3">
      <c r="A15" s="53"/>
      <c r="B15" s="53"/>
      <c r="C15" s="53"/>
      <c r="D15" s="53"/>
      <c r="E15" s="53"/>
      <c r="F15" s="53"/>
      <c r="G15" s="53"/>
      <c r="H15" s="53"/>
      <c r="I15" s="53"/>
    </row>
    <row r="16" spans="1:27" x14ac:dyDescent="0.3">
      <c r="A16" s="53"/>
      <c r="B16" s="53"/>
      <c r="C16" s="53"/>
      <c r="D16" s="53"/>
      <c r="E16" s="53"/>
      <c r="F16" s="53"/>
      <c r="G16" s="53"/>
      <c r="H16" s="53"/>
      <c r="I16" s="53"/>
    </row>
    <row r="17" spans="1:9" x14ac:dyDescent="0.3">
      <c r="A17" s="53"/>
      <c r="B17" s="53"/>
      <c r="C17" s="53"/>
      <c r="D17" s="53"/>
      <c r="E17" s="53"/>
      <c r="F17" s="53"/>
      <c r="G17" s="53"/>
      <c r="H17" s="53"/>
      <c r="I17" s="53"/>
    </row>
    <row r="18" spans="1:9" x14ac:dyDescent="0.3">
      <c r="A18" s="53"/>
      <c r="B18" s="53"/>
      <c r="C18" s="53"/>
      <c r="D18" s="53"/>
      <c r="E18" s="53"/>
      <c r="F18" s="53"/>
      <c r="G18" s="53"/>
      <c r="H18" s="53"/>
      <c r="I18" s="53"/>
    </row>
    <row r="19" spans="1:9" x14ac:dyDescent="0.3">
      <c r="A19" s="53"/>
      <c r="B19" s="53"/>
      <c r="C19" s="53"/>
      <c r="D19" s="53"/>
      <c r="E19" s="53"/>
      <c r="F19" s="53"/>
      <c r="G19" s="53"/>
      <c r="H19" s="53"/>
      <c r="I19" s="53"/>
    </row>
    <row r="20" spans="1:9" x14ac:dyDescent="0.3">
      <c r="A20" s="53"/>
      <c r="B20" s="53"/>
      <c r="C20" s="53"/>
      <c r="D20" s="53"/>
      <c r="E20" s="53"/>
      <c r="F20" s="53"/>
      <c r="G20" s="53"/>
      <c r="H20" s="53"/>
      <c r="I20" s="53"/>
    </row>
    <row r="21" spans="1:9" x14ac:dyDescent="0.3">
      <c r="A21" s="53"/>
      <c r="B21" s="53"/>
      <c r="C21" s="53"/>
      <c r="D21" s="53"/>
      <c r="E21" s="53"/>
      <c r="F21" s="53"/>
      <c r="G21" s="53"/>
      <c r="H21" s="53"/>
      <c r="I21" s="53"/>
    </row>
    <row r="22" spans="1:9" x14ac:dyDescent="0.3">
      <c r="A22" s="53"/>
      <c r="B22" s="53"/>
      <c r="C22" s="53"/>
      <c r="D22" s="53"/>
      <c r="E22" s="53"/>
      <c r="F22" s="53"/>
      <c r="G22" s="53"/>
      <c r="H22" s="53"/>
      <c r="I22" s="53"/>
    </row>
    <row r="23" spans="1:9" x14ac:dyDescent="0.3">
      <c r="A23" s="53"/>
      <c r="B23" s="53"/>
      <c r="C23" s="53"/>
      <c r="D23" s="53"/>
      <c r="E23" s="53"/>
      <c r="F23" s="53"/>
      <c r="G23" s="53"/>
      <c r="H23" s="53"/>
      <c r="I23" s="53"/>
    </row>
    <row r="24" spans="1:9" x14ac:dyDescent="0.3">
      <c r="A24" s="53"/>
      <c r="B24" s="53"/>
      <c r="C24" s="53"/>
      <c r="D24" s="53"/>
      <c r="E24" s="53"/>
      <c r="F24" s="53"/>
      <c r="G24" s="53"/>
      <c r="H24" s="53"/>
      <c r="I24" s="53"/>
    </row>
    <row r="25" spans="1:9" x14ac:dyDescent="0.3">
      <c r="A25" s="53"/>
      <c r="B25" s="53"/>
      <c r="C25" s="53"/>
      <c r="D25" s="53"/>
      <c r="E25" s="53"/>
      <c r="F25" s="53"/>
      <c r="G25" s="53"/>
      <c r="H25" s="53"/>
      <c r="I25" s="53"/>
    </row>
    <row r="26" spans="1:9" x14ac:dyDescent="0.3">
      <c r="A26" s="53"/>
      <c r="B26" s="53"/>
      <c r="C26" s="53"/>
      <c r="D26" s="53"/>
      <c r="E26" s="53"/>
      <c r="F26" s="53"/>
      <c r="G26" s="53"/>
      <c r="H26" s="53"/>
      <c r="I26" s="53"/>
    </row>
    <row r="27" spans="1:9" x14ac:dyDescent="0.3">
      <c r="A27" s="53"/>
      <c r="B27" s="53"/>
      <c r="C27" s="53"/>
      <c r="D27" s="53"/>
      <c r="E27" s="53"/>
      <c r="F27" s="53"/>
      <c r="G27" s="53"/>
      <c r="H27" s="53"/>
      <c r="I27" s="53"/>
    </row>
    <row r="28" spans="1:9" x14ac:dyDescent="0.3">
      <c r="A28" s="53"/>
      <c r="B28" s="53"/>
      <c r="C28" s="53"/>
      <c r="D28" s="53"/>
      <c r="E28" s="53"/>
      <c r="F28" s="53"/>
      <c r="G28" s="53"/>
      <c r="H28" s="53"/>
      <c r="I28" s="53"/>
    </row>
    <row r="29" spans="1:9" x14ac:dyDescent="0.3">
      <c r="A29" s="53"/>
      <c r="B29" s="53"/>
      <c r="C29" s="53"/>
      <c r="D29" s="53"/>
      <c r="E29" s="53"/>
      <c r="F29" s="53"/>
      <c r="G29" s="53"/>
      <c r="H29" s="53"/>
      <c r="I29" s="53"/>
    </row>
    <row r="30" spans="1:9" x14ac:dyDescent="0.3">
      <c r="A30" s="53"/>
      <c r="B30" s="53"/>
      <c r="C30" s="53"/>
      <c r="D30" s="53"/>
      <c r="E30" s="53"/>
      <c r="F30" s="53"/>
      <c r="G30" s="53"/>
      <c r="H30" s="53"/>
      <c r="I30" s="53"/>
    </row>
    <row r="31" spans="1:9" x14ac:dyDescent="0.3">
      <c r="A31" s="53"/>
      <c r="B31" s="53"/>
      <c r="C31" s="53"/>
      <c r="D31" s="53"/>
      <c r="E31" s="53"/>
      <c r="F31" s="53"/>
      <c r="G31" s="53"/>
      <c r="H31" s="53"/>
      <c r="I31" s="53"/>
    </row>
  </sheetData>
  <mergeCells count="1">
    <mergeCell ref="A7:I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ED5C-0DBD-41E7-A43A-34DCE91A66A7}">
  <dimension ref="A1:AC28"/>
  <sheetViews>
    <sheetView tabSelected="1" zoomScaleNormal="100" workbookViewId="0">
      <selection activeCell="J13" sqref="J13"/>
    </sheetView>
  </sheetViews>
  <sheetFormatPr defaultColWidth="15.6640625" defaultRowHeight="14.4" x14ac:dyDescent="0.3"/>
  <cols>
    <col min="1" max="1" width="25.44140625" customWidth="1"/>
    <col min="2" max="2" width="26.88671875" bestFit="1" customWidth="1"/>
    <col min="3" max="3" width="26.88671875" style="1" customWidth="1"/>
    <col min="4" max="5" width="20.6640625" style="1" customWidth="1"/>
    <col min="6" max="6" width="20.6640625" customWidth="1"/>
  </cols>
  <sheetData>
    <row r="1" spans="1:29" x14ac:dyDescent="0.3">
      <c r="A1" s="14" t="s">
        <v>48</v>
      </c>
      <c r="B1" s="14"/>
      <c r="C1" s="17"/>
    </row>
    <row r="2" spans="1:29" s="13" customFormat="1" ht="15" thickBot="1" x14ac:dyDescent="0.35">
      <c r="A2" s="12" t="s">
        <v>41</v>
      </c>
      <c r="B2" s="12"/>
      <c r="C2" s="17"/>
      <c r="D2" s="1"/>
      <c r="E2" s="1"/>
    </row>
    <row r="3" spans="1:29" ht="15" thickBot="1" x14ac:dyDescent="0.35">
      <c r="A3" s="4" t="s">
        <v>0</v>
      </c>
      <c r="B3" s="15" t="s">
        <v>35</v>
      </c>
      <c r="C3" s="6" t="s">
        <v>37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31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6" t="s">
        <v>30</v>
      </c>
    </row>
    <row r="4" spans="1:29" ht="15" thickBot="1" x14ac:dyDescent="0.35">
      <c r="A4" s="8" t="s">
        <v>3</v>
      </c>
      <c r="B4" s="19" t="s">
        <v>36</v>
      </c>
      <c r="C4" s="16">
        <v>79.981999999999999</v>
      </c>
      <c r="D4" s="18">
        <v>0</v>
      </c>
      <c r="E4" s="18">
        <v>100</v>
      </c>
      <c r="F4" s="18">
        <v>50</v>
      </c>
      <c r="G4" s="2">
        <v>1</v>
      </c>
      <c r="H4" s="2">
        <v>1</v>
      </c>
      <c r="I4" s="2">
        <v>50</v>
      </c>
      <c r="J4" s="2">
        <v>1</v>
      </c>
      <c r="K4" s="2">
        <v>0.5</v>
      </c>
      <c r="L4" s="2">
        <v>3</v>
      </c>
      <c r="M4" s="2">
        <v>0.1</v>
      </c>
      <c r="N4" s="2">
        <v>3</v>
      </c>
      <c r="O4" s="9">
        <v>10</v>
      </c>
      <c r="P4" s="9">
        <v>5</v>
      </c>
      <c r="Q4" s="2">
        <v>6</v>
      </c>
      <c r="R4" s="2">
        <v>0.02</v>
      </c>
      <c r="S4" s="2">
        <v>0.05</v>
      </c>
      <c r="T4" s="9" t="s">
        <v>32</v>
      </c>
      <c r="U4" s="2">
        <v>5.0000000000000001E-3</v>
      </c>
      <c r="V4" s="3">
        <v>1.0000000000000001E-9</v>
      </c>
      <c r="W4" s="2">
        <v>1</v>
      </c>
      <c r="X4" s="2">
        <v>3</v>
      </c>
      <c r="Y4" s="2">
        <v>105</v>
      </c>
      <c r="Z4" s="2">
        <v>525</v>
      </c>
      <c r="AA4" s="2">
        <v>105</v>
      </c>
      <c r="AB4" s="2">
        <v>0.75</v>
      </c>
      <c r="AC4" s="9">
        <v>967</v>
      </c>
    </row>
    <row r="5" spans="1:29" ht="15" thickBot="1" x14ac:dyDescent="0.35">
      <c r="A5" s="20" t="s">
        <v>0</v>
      </c>
      <c r="B5" s="21" t="s">
        <v>35</v>
      </c>
      <c r="C5" s="22" t="s">
        <v>37</v>
      </c>
      <c r="D5" s="22" t="s">
        <v>38</v>
      </c>
      <c r="E5" s="22" t="s">
        <v>44</v>
      </c>
      <c r="F5" s="23" t="s">
        <v>40</v>
      </c>
      <c r="G5" s="23" t="s">
        <v>52</v>
      </c>
    </row>
    <row r="6" spans="1:29" x14ac:dyDescent="0.3">
      <c r="A6" s="25" t="s">
        <v>49</v>
      </c>
      <c r="B6" s="26" t="s">
        <v>42</v>
      </c>
      <c r="C6" s="27">
        <v>80.033900000000003</v>
      </c>
      <c r="D6" s="27" t="s">
        <v>39</v>
      </c>
      <c r="E6" s="27">
        <v>40</v>
      </c>
      <c r="F6" s="28">
        <v>60</v>
      </c>
      <c r="G6" s="43">
        <v>967</v>
      </c>
    </row>
    <row r="7" spans="1:29" x14ac:dyDescent="0.3">
      <c r="A7" s="29" t="s">
        <v>50</v>
      </c>
      <c r="B7" s="24" t="s">
        <v>42</v>
      </c>
      <c r="C7" s="35">
        <v>79.575500000000005</v>
      </c>
      <c r="D7" s="2" t="s">
        <v>39</v>
      </c>
      <c r="E7" s="2">
        <v>20</v>
      </c>
      <c r="F7" s="30">
        <v>80</v>
      </c>
      <c r="G7" s="44">
        <v>967</v>
      </c>
    </row>
    <row r="8" spans="1:29" ht="15" thickBot="1" x14ac:dyDescent="0.35">
      <c r="A8" s="31" t="s">
        <v>51</v>
      </c>
      <c r="B8" s="32" t="s">
        <v>42</v>
      </c>
      <c r="C8" s="33">
        <v>80.271000000000001</v>
      </c>
      <c r="D8" s="33" t="s">
        <v>39</v>
      </c>
      <c r="E8" s="33">
        <v>70</v>
      </c>
      <c r="F8" s="34">
        <v>30</v>
      </c>
      <c r="G8" s="45">
        <v>967</v>
      </c>
    </row>
    <row r="9" spans="1:29" x14ac:dyDescent="0.3">
      <c r="A9" s="36" t="s">
        <v>0</v>
      </c>
      <c r="B9" s="37" t="s">
        <v>35</v>
      </c>
      <c r="C9" s="37" t="s">
        <v>37</v>
      </c>
      <c r="D9" s="37" t="s">
        <v>38</v>
      </c>
      <c r="E9" s="37" t="s">
        <v>44</v>
      </c>
      <c r="F9" s="37" t="s">
        <v>40</v>
      </c>
      <c r="G9" s="38" t="s">
        <v>52</v>
      </c>
      <c r="H9" s="38" t="s">
        <v>64</v>
      </c>
    </row>
    <row r="10" spans="1:29" x14ac:dyDescent="0.3">
      <c r="A10" s="39" t="s">
        <v>53</v>
      </c>
      <c r="B10" s="2" t="s">
        <v>42</v>
      </c>
      <c r="C10" s="2">
        <v>106.43300000000001</v>
      </c>
      <c r="D10" s="2"/>
      <c r="E10" s="2">
        <v>20</v>
      </c>
      <c r="F10" s="2">
        <v>80</v>
      </c>
      <c r="G10" s="30">
        <v>76</v>
      </c>
      <c r="H10" t="s">
        <v>65</v>
      </c>
    </row>
    <row r="11" spans="1:29" x14ac:dyDescent="0.3">
      <c r="A11" s="39" t="s">
        <v>54</v>
      </c>
      <c r="B11" s="2" t="s">
        <v>42</v>
      </c>
      <c r="C11" s="2">
        <v>106.43300000000001</v>
      </c>
      <c r="D11" s="2"/>
      <c r="E11" s="2">
        <v>40</v>
      </c>
      <c r="F11" s="2">
        <v>60</v>
      </c>
      <c r="G11" s="30">
        <v>76</v>
      </c>
      <c r="H11" t="s">
        <v>66</v>
      </c>
    </row>
    <row r="12" spans="1:29" x14ac:dyDescent="0.3">
      <c r="A12" s="39"/>
      <c r="B12" s="41" t="s">
        <v>42</v>
      </c>
      <c r="C12" s="41"/>
      <c r="D12" s="41"/>
      <c r="E12" s="41">
        <v>55</v>
      </c>
      <c r="F12" s="41">
        <v>45</v>
      </c>
      <c r="G12" s="42">
        <v>76</v>
      </c>
    </row>
    <row r="13" spans="1:29" ht="15" thickBot="1" x14ac:dyDescent="0.35">
      <c r="A13" s="40" t="s">
        <v>55</v>
      </c>
      <c r="B13" s="33" t="s">
        <v>42</v>
      </c>
      <c r="C13" s="2">
        <v>106.43300000000001</v>
      </c>
      <c r="D13" s="33"/>
      <c r="E13" s="33">
        <v>70</v>
      </c>
      <c r="F13" s="33">
        <v>30</v>
      </c>
      <c r="G13" s="34">
        <v>76</v>
      </c>
      <c r="H13" t="s">
        <v>67</v>
      </c>
      <c r="J13">
        <f>100*(106.43 - 80)/80</f>
        <v>33.037500000000009</v>
      </c>
    </row>
    <row r="14" spans="1:29" x14ac:dyDescent="0.3">
      <c r="A14" s="14" t="s">
        <v>43</v>
      </c>
      <c r="B14" s="14"/>
      <c r="C14" s="17"/>
    </row>
    <row r="15" spans="1:29" s="13" customFormat="1" ht="15" thickBot="1" x14ac:dyDescent="0.35">
      <c r="A15" s="12" t="s">
        <v>47</v>
      </c>
      <c r="B15" s="12"/>
      <c r="C15" s="17"/>
      <c r="D15" s="1"/>
      <c r="E15" s="1"/>
    </row>
    <row r="16" spans="1:29" ht="15" thickBot="1" x14ac:dyDescent="0.35">
      <c r="A16" s="4" t="s">
        <v>0</v>
      </c>
      <c r="B16" s="15" t="s">
        <v>35</v>
      </c>
      <c r="C16" s="6" t="s">
        <v>37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31</v>
      </c>
      <c r="S16" s="5" t="s">
        <v>20</v>
      </c>
      <c r="T16" s="5" t="s">
        <v>21</v>
      </c>
      <c r="U16" s="5" t="s">
        <v>22</v>
      </c>
      <c r="V16" s="5" t="s">
        <v>23</v>
      </c>
      <c r="W16" s="5" t="s">
        <v>24</v>
      </c>
      <c r="X16" s="5" t="s">
        <v>25</v>
      </c>
      <c r="Y16" s="5" t="s">
        <v>26</v>
      </c>
      <c r="Z16" s="5" t="s">
        <v>27</v>
      </c>
      <c r="AA16" s="5" t="s">
        <v>28</v>
      </c>
      <c r="AB16" s="5" t="s">
        <v>29</v>
      </c>
      <c r="AC16" s="6" t="s">
        <v>30</v>
      </c>
    </row>
    <row r="17" spans="1:29" ht="15" thickBot="1" x14ac:dyDescent="0.35">
      <c r="A17" s="8" t="s">
        <v>3</v>
      </c>
      <c r="B17" s="19" t="s">
        <v>36</v>
      </c>
      <c r="C17" s="47">
        <v>79.981999999999999</v>
      </c>
      <c r="D17" s="18">
        <v>0</v>
      </c>
      <c r="E17" s="18">
        <v>100</v>
      </c>
      <c r="F17" s="18">
        <v>50</v>
      </c>
      <c r="G17" s="2">
        <v>1</v>
      </c>
      <c r="H17" s="2">
        <v>1</v>
      </c>
      <c r="I17" s="2">
        <v>50</v>
      </c>
      <c r="J17" s="2">
        <v>1</v>
      </c>
      <c r="K17" s="2">
        <v>0.5</v>
      </c>
      <c r="L17" s="2">
        <v>3</v>
      </c>
      <c r="M17" s="2">
        <v>0.1</v>
      </c>
      <c r="N17" s="2">
        <v>3</v>
      </c>
      <c r="O17" s="9">
        <v>10</v>
      </c>
      <c r="P17" s="9">
        <v>5</v>
      </c>
      <c r="Q17" s="2">
        <v>6</v>
      </c>
      <c r="R17" s="2">
        <v>0.02</v>
      </c>
      <c r="S17" s="2">
        <v>0.05</v>
      </c>
      <c r="T17" s="9" t="s">
        <v>32</v>
      </c>
      <c r="U17" s="2">
        <v>5.0000000000000001E-3</v>
      </c>
      <c r="V17" s="3">
        <v>1.0000000000000001E-9</v>
      </c>
      <c r="W17" s="2">
        <v>1</v>
      </c>
      <c r="X17" s="2">
        <v>3</v>
      </c>
      <c r="Y17" s="2">
        <v>105</v>
      </c>
      <c r="Z17" s="2">
        <v>525</v>
      </c>
      <c r="AA17" s="2">
        <v>105</v>
      </c>
      <c r="AB17" s="2">
        <v>0.75</v>
      </c>
      <c r="AC17" s="9">
        <v>967</v>
      </c>
    </row>
    <row r="18" spans="1:29" ht="15" thickBot="1" x14ac:dyDescent="0.35">
      <c r="A18" s="20" t="s">
        <v>0</v>
      </c>
      <c r="B18" s="21" t="s">
        <v>35</v>
      </c>
      <c r="C18" s="22" t="s">
        <v>37</v>
      </c>
      <c r="D18" s="22" t="s">
        <v>38</v>
      </c>
      <c r="E18" s="22" t="s">
        <v>45</v>
      </c>
      <c r="F18" s="23" t="s">
        <v>46</v>
      </c>
    </row>
    <row r="19" spans="1:29" x14ac:dyDescent="0.3">
      <c r="A19" s="25" t="s">
        <v>56</v>
      </c>
      <c r="B19" s="26" t="s">
        <v>42</v>
      </c>
      <c r="C19" s="27">
        <v>82.644418999999999</v>
      </c>
      <c r="D19" s="27" t="s">
        <v>39</v>
      </c>
      <c r="E19" s="27">
        <v>10</v>
      </c>
      <c r="F19" s="28">
        <v>5</v>
      </c>
    </row>
    <row r="20" spans="1:29" x14ac:dyDescent="0.3">
      <c r="A20" s="29" t="s">
        <v>57</v>
      </c>
      <c r="B20" s="24" t="s">
        <v>42</v>
      </c>
      <c r="C20" s="2">
        <v>92.814441000000002</v>
      </c>
      <c r="D20" s="2" t="s">
        <v>39</v>
      </c>
      <c r="E20" s="2">
        <v>7</v>
      </c>
      <c r="F20" s="30">
        <v>8</v>
      </c>
    </row>
    <row r="21" spans="1:29" ht="15" thickBot="1" x14ac:dyDescent="0.35">
      <c r="A21" s="31" t="s">
        <v>58</v>
      </c>
      <c r="B21" s="32" t="s">
        <v>42</v>
      </c>
      <c r="C21" s="33">
        <v>93.90549</v>
      </c>
      <c r="D21" s="33" t="s">
        <v>39</v>
      </c>
      <c r="E21" s="33">
        <v>3</v>
      </c>
      <c r="F21" s="34">
        <v>12</v>
      </c>
    </row>
    <row r="22" spans="1:29" ht="15" thickBot="1" x14ac:dyDescent="0.35">
      <c r="A22" s="14" t="s">
        <v>59</v>
      </c>
    </row>
    <row r="23" spans="1:29" ht="15" thickBot="1" x14ac:dyDescent="0.35">
      <c r="A23" s="11" t="s">
        <v>0</v>
      </c>
      <c r="B23" s="5" t="s">
        <v>35</v>
      </c>
      <c r="C23" s="5" t="s">
        <v>37</v>
      </c>
      <c r="D23" s="46" t="s">
        <v>52</v>
      </c>
      <c r="E23" s="5" t="s">
        <v>6</v>
      </c>
      <c r="F23" s="5" t="s">
        <v>45</v>
      </c>
      <c r="G23" s="5" t="s">
        <v>46</v>
      </c>
      <c r="H23" s="5" t="s">
        <v>21</v>
      </c>
      <c r="I23" s="5" t="s">
        <v>28</v>
      </c>
      <c r="J23" s="6" t="s">
        <v>29</v>
      </c>
    </row>
    <row r="24" spans="1:29" s="48" customFormat="1" x14ac:dyDescent="0.3">
      <c r="A24" s="48" t="s">
        <v>5</v>
      </c>
      <c r="B24" s="48" t="s">
        <v>42</v>
      </c>
      <c r="C24" s="48">
        <v>122.46</v>
      </c>
      <c r="D24" s="48">
        <v>976</v>
      </c>
      <c r="E24" s="48">
        <v>1</v>
      </c>
      <c r="F24" s="48" t="s">
        <v>60</v>
      </c>
      <c r="G24" s="48" t="s">
        <v>60</v>
      </c>
      <c r="H24" s="49" t="s">
        <v>32</v>
      </c>
      <c r="I24" s="48">
        <v>105</v>
      </c>
      <c r="J24" s="48">
        <v>0.75</v>
      </c>
    </row>
    <row r="25" spans="1:29" s="48" customFormat="1" x14ac:dyDescent="0.3">
      <c r="A25" s="48" t="s">
        <v>61</v>
      </c>
      <c r="B25" s="48" t="s">
        <v>42</v>
      </c>
      <c r="C25" s="48">
        <v>138.68761925000001</v>
      </c>
      <c r="D25" s="48">
        <v>32</v>
      </c>
      <c r="E25" s="48">
        <v>1</v>
      </c>
      <c r="F25" s="48" t="s">
        <v>60</v>
      </c>
      <c r="G25" s="48" t="s">
        <v>60</v>
      </c>
      <c r="H25" s="49" t="s">
        <v>32</v>
      </c>
      <c r="I25" s="48">
        <v>105</v>
      </c>
      <c r="J25" s="48">
        <v>0.75</v>
      </c>
    </row>
    <row r="26" spans="1:29" s="48" customFormat="1" x14ac:dyDescent="0.3">
      <c r="A26" s="48" t="s">
        <v>62</v>
      </c>
      <c r="B26" s="48" t="s">
        <v>42</v>
      </c>
      <c r="C26" s="48">
        <v>138.71799999999999</v>
      </c>
      <c r="D26" s="48">
        <v>83</v>
      </c>
      <c r="E26" s="48">
        <v>1</v>
      </c>
      <c r="F26" s="48" t="s">
        <v>60</v>
      </c>
      <c r="G26" s="48" t="s">
        <v>60</v>
      </c>
      <c r="H26" s="49" t="s">
        <v>32</v>
      </c>
      <c r="I26" s="48">
        <v>105</v>
      </c>
      <c r="J26" s="48">
        <v>0.75</v>
      </c>
    </row>
    <row r="27" spans="1:29" s="50" customFormat="1" x14ac:dyDescent="0.3">
      <c r="A27" s="50" t="s">
        <v>63</v>
      </c>
      <c r="B27" s="50" t="s">
        <v>42</v>
      </c>
      <c r="D27" s="50">
        <v>125</v>
      </c>
      <c r="E27" s="50">
        <v>1</v>
      </c>
      <c r="F27" s="50" t="s">
        <v>60</v>
      </c>
      <c r="G27" s="50" t="s">
        <v>60</v>
      </c>
      <c r="H27" s="51" t="s">
        <v>32</v>
      </c>
      <c r="I27" s="50">
        <v>105</v>
      </c>
      <c r="J27" s="50">
        <v>0.75</v>
      </c>
    </row>
    <row r="28" spans="1:29" x14ac:dyDescent="0.3">
      <c r="C28" s="1">
        <f>100*(C26-C24)/C26</f>
        <v>11.720180510099624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</vt:lpstr>
      <vt:lpstr>Desktop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Elenor Naraidoo</dc:creator>
  <cp:lastModifiedBy>Elenor Naraidoo</cp:lastModifiedBy>
  <dcterms:created xsi:type="dcterms:W3CDTF">2015-06-05T18:17:20Z</dcterms:created>
  <dcterms:modified xsi:type="dcterms:W3CDTF">2026-10-14T11:11:52Z</dcterms:modified>
</cp:coreProperties>
</file>